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시 · 과일 케이크 한 조각" sheetId="1" state="visible" r:id="rId1"/>
    <sheet name="메뉴 1" sheetId="2" state="visible" r:id="rId2"/>
    <sheet name="메뉴 2" sheetId="3" state="visible" r:id="rId3"/>
    <sheet name="메뉴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맑은 고딕"/>
      <b val="1"/>
      <color rgb="006F4E2A"/>
      <sz val="14"/>
    </font>
    <font>
      <name val="맑은 고딕"/>
      <color rgb="00948570"/>
      <sz val="10"/>
    </font>
    <font>
      <name val="맑은 고딕"/>
      <b val="1"/>
      <color rgb="00FFFFFF"/>
    </font>
    <font>
      <name val="맑은 고딕"/>
      <b val="1"/>
      <color rgb="006F4E2A"/>
    </font>
    <font>
      <name val="맑은 고딕"/>
      <b val="1"/>
      <color rgb="006F4E2A"/>
      <sz val="12"/>
    </font>
  </fonts>
  <fills count="5">
    <fill>
      <patternFill/>
    </fill>
    <fill>
      <patternFill patternType="gray125"/>
    </fill>
    <fill>
      <patternFill patternType="solid">
        <fgColor rgb="00A9783F"/>
      </patternFill>
    </fill>
    <fill>
      <patternFill patternType="solid">
        <fgColor rgb="00FFFBEA"/>
      </patternFill>
    </fill>
    <fill>
      <patternFill patternType="solid">
        <fgColor rgb="00F3EBDC"/>
      </patternFill>
    </fill>
  </fills>
  <borders count="2">
    <border>
      <left/>
      <right/>
      <top/>
      <bottom/>
      <diagonal/>
    </border>
    <border>
      <left style="thin">
        <color rgb="00DCCBAE"/>
      </left>
      <right style="thin">
        <color rgb="00DCCBAE"/>
      </right>
      <top style="thin">
        <color rgb="00DCCBAE"/>
      </top>
      <bottom style="thin">
        <color rgb="00DCCBA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3" borderId="1" pivotButton="0" quotePrefix="0" xfId="0"/>
    <xf numFmtId="3" fontId="0" fillId="4" borderId="1" pivotButton="0" quotePrefix="0" xfId="0"/>
    <xf numFmtId="0" fontId="4" fillId="0" borderId="0" pivotButton="0" quotePrefix="0" xfId="0"/>
    <xf numFmtId="3" fontId="5" fillId="4" borderId="0" pivotButton="0" quotePrefix="0" xfId="0"/>
    <xf numFmtId="3" fontId="0" fillId="3" borderId="0" pivotButton="0" quotePrefix="0" xfId="0"/>
    <xf numFmtId="164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16" customWidth="1" min="3" max="3"/>
    <col width="16" customWidth="1" min="4" max="4"/>
    <col width="10" customWidth="1" min="5" max="5"/>
    <col width="20" customWidth="1" min="6" max="6"/>
    <col width="16" customWidth="1" min="7" max="7"/>
  </cols>
  <sheetData>
    <row r="2">
      <c r="B2" s="1" t="inlineStr">
        <is>
          <t>원가계산표 · 예시 · 과일 케이크 한 조각</t>
        </is>
      </c>
    </row>
    <row r="3">
      <c r="B3" s="2" t="inlineStr">
        <is>
          <t>노란 칸만 적으면 됩니다. 구매단가 ÷ 구매 기준수량 × 레시피 사용량 = 재료비. 맨 아래 "1개 원가"를 워크북 2일차 3교시 표에 옮기세요.</t>
        </is>
      </c>
    </row>
    <row r="5" ht="32" customHeight="1">
      <c r="B5" s="3" t="inlineStr">
        <is>
          <t>재료명</t>
        </is>
      </c>
      <c r="C5" s="3" t="inlineStr">
        <is>
          <t>구매단가 (원)</t>
        </is>
      </c>
      <c r="D5" s="3" t="inlineStr">
        <is>
          <t>구매 기준수량</t>
        </is>
      </c>
      <c r="E5" s="3" t="inlineStr">
        <is>
          <t>단위</t>
        </is>
      </c>
      <c r="F5" s="3" t="inlineStr">
        <is>
          <t>레시피 사용량 (1개당)</t>
        </is>
      </c>
      <c r="G5" s="3" t="inlineStr">
        <is>
          <t>재료비 (원)</t>
        </is>
      </c>
    </row>
    <row r="6">
      <c r="B6" s="4" t="inlineStr">
        <is>
          <t>계절과일 (딸기)</t>
        </is>
      </c>
      <c r="C6" s="5" t="n">
        <v>9000</v>
      </c>
      <c r="D6" s="4" t="n">
        <v>1000</v>
      </c>
      <c r="E6" s="4" t="inlineStr">
        <is>
          <t>g</t>
        </is>
      </c>
      <c r="F6" s="4" t="n">
        <v>100</v>
      </c>
      <c r="G6" s="6">
        <f>IF(OR(C6="",D6="",F6=""),"",C6/D6*F6)</f>
        <v/>
      </c>
    </row>
    <row r="7">
      <c r="B7" s="4" t="inlineStr">
        <is>
          <t>생크림</t>
        </is>
      </c>
      <c r="C7" s="5" t="n">
        <v>4200</v>
      </c>
      <c r="D7" s="4" t="n">
        <v>1000</v>
      </c>
      <c r="E7" s="4" t="inlineStr">
        <is>
          <t>ml</t>
        </is>
      </c>
      <c r="F7" s="4" t="n">
        <v>120</v>
      </c>
      <c r="G7" s="6">
        <f>IF(OR(C7="",D7="",F7=""),"",C7/D7*F7)</f>
        <v/>
      </c>
    </row>
    <row r="8">
      <c r="B8" s="4" t="inlineStr">
        <is>
          <t>설탕</t>
        </is>
      </c>
      <c r="C8" s="5" t="n">
        <v>1800</v>
      </c>
      <c r="D8" s="4" t="n">
        <v>1000</v>
      </c>
      <c r="E8" s="4" t="inlineStr">
        <is>
          <t>g</t>
        </is>
      </c>
      <c r="F8" s="4" t="n">
        <v>15</v>
      </c>
      <c r="G8" s="6">
        <f>IF(OR(C8="",D8="",F8=""),"",C8/D8*F8)</f>
        <v/>
      </c>
    </row>
    <row r="9">
      <c r="B9" s="4" t="inlineStr">
        <is>
          <t>케이크 시트 (밀가루·계란·버터)</t>
        </is>
      </c>
      <c r="C9" s="5" t="n">
        <v>6000</v>
      </c>
      <c r="D9" s="4" t="n">
        <v>10</v>
      </c>
      <c r="E9" s="4" t="inlineStr">
        <is>
          <t>장</t>
        </is>
      </c>
      <c r="F9" s="4" t="n">
        <v>1</v>
      </c>
      <c r="G9" s="6">
        <f>IF(OR(C9="",D9="",F9=""),"",C9/D9*F9)</f>
        <v/>
      </c>
    </row>
    <row r="10">
      <c r="B10" s="4" t="inlineStr">
        <is>
          <t>바닐라 향</t>
        </is>
      </c>
      <c r="C10" s="5" t="n">
        <v>3500</v>
      </c>
      <c r="D10" s="4" t="n">
        <v>50</v>
      </c>
      <c r="E10" s="4" t="inlineStr">
        <is>
          <t>ml</t>
        </is>
      </c>
      <c r="F10" s="4" t="n">
        <v>1</v>
      </c>
      <c r="G10" s="6">
        <f>IF(OR(C10="",D10="",F10=""),"",C10/D10*F10)</f>
        <v/>
      </c>
    </row>
    <row r="11">
      <c r="B11" s="4" t="inlineStr">
        <is>
          <t>케이크 상자 + 받침</t>
        </is>
      </c>
      <c r="C11" s="5" t="n">
        <v>400</v>
      </c>
      <c r="D11" s="4" t="n">
        <v>1</v>
      </c>
      <c r="E11" s="4" t="inlineStr">
        <is>
          <t>개</t>
        </is>
      </c>
      <c r="F11" s="4" t="n">
        <v>1</v>
      </c>
      <c r="G11" s="6">
        <f>IF(OR(C11="",D11="",F11=""),"",C11/D11*F11)</f>
        <v/>
      </c>
    </row>
    <row r="12">
      <c r="B12" s="4" t="inlineStr">
        <is>
          <t>포크·냅킨</t>
        </is>
      </c>
      <c r="C12" s="5" t="n">
        <v>80</v>
      </c>
      <c r="D12" s="4" t="n">
        <v>1</v>
      </c>
      <c r="E12" s="4" t="inlineStr">
        <is>
          <t>세트</t>
        </is>
      </c>
      <c r="F12" s="4" t="n">
        <v>1</v>
      </c>
      <c r="G12" s="6">
        <f>IF(OR(C12="",D12="",F12=""),"",C12/D12*F12)</f>
        <v/>
      </c>
    </row>
    <row r="13">
      <c r="B13" s="4" t="n"/>
      <c r="C13" s="5" t="n"/>
      <c r="D13" s="4" t="n"/>
      <c r="E13" s="4" t="n"/>
      <c r="F13" s="4" t="n"/>
      <c r="G13" s="6">
        <f>IF(OR(C13="",D13="",F13=""),"",C13/D13*F13)</f>
        <v/>
      </c>
    </row>
    <row r="14">
      <c r="B14" s="4" t="n"/>
      <c r="C14" s="5" t="n"/>
      <c r="D14" s="4" t="n"/>
      <c r="E14" s="4" t="n"/>
      <c r="F14" s="4" t="n"/>
      <c r="G14" s="6">
        <f>IF(OR(C14="",D14="",F14=""),"",C14/D14*F14)</f>
        <v/>
      </c>
    </row>
    <row r="15">
      <c r="B15" s="4" t="n"/>
      <c r="C15" s="5" t="n"/>
      <c r="D15" s="4" t="n"/>
      <c r="E15" s="4" t="n"/>
      <c r="F15" s="4" t="n"/>
      <c r="G15" s="6">
        <f>IF(OR(C15="",D15="",F15=""),"",C15/D15*F15)</f>
        <v/>
      </c>
    </row>
    <row r="16">
      <c r="B16" s="4" t="n"/>
      <c r="C16" s="5" t="n"/>
      <c r="D16" s="4" t="n"/>
      <c r="E16" s="4" t="n"/>
      <c r="F16" s="4" t="n"/>
      <c r="G16" s="6">
        <f>IF(OR(C16="",D16="",F16=""),"",C16/D16*F16)</f>
        <v/>
      </c>
    </row>
    <row r="17">
      <c r="B17" s="4" t="n"/>
      <c r="C17" s="5" t="n"/>
      <c r="D17" s="4" t="n"/>
      <c r="E17" s="4" t="n"/>
      <c r="F17" s="4" t="n"/>
      <c r="G17" s="6">
        <f>IF(OR(C17="",D17="",F17=""),"",C17/D17*F17)</f>
        <v/>
      </c>
    </row>
    <row r="18">
      <c r="B18" s="4" t="n"/>
      <c r="C18" s="5" t="n"/>
      <c r="D18" s="4" t="n"/>
      <c r="E18" s="4" t="n"/>
      <c r="F18" s="4" t="n"/>
      <c r="G18" s="6">
        <f>IF(OR(C18="",D18="",F18=""),"",C18/D18*F18)</f>
        <v/>
      </c>
    </row>
    <row r="19">
      <c r="B19" s="4" t="n"/>
      <c r="C19" s="5" t="n"/>
      <c r="D19" s="4" t="n"/>
      <c r="E19" s="4" t="n"/>
      <c r="F19" s="4" t="n"/>
      <c r="G19" s="6">
        <f>IF(OR(C19="",D19="",F19=""),"",C19/D19*F19)</f>
        <v/>
      </c>
    </row>
    <row r="20">
      <c r="B20" s="4" t="n"/>
      <c r="C20" s="5" t="n"/>
      <c r="D20" s="4" t="n"/>
      <c r="E20" s="4" t="n"/>
      <c r="F20" s="4" t="n"/>
      <c r="G20" s="6">
        <f>IF(OR(C20="",D20="",F20=""),"",C20/D20*F20)</f>
        <v/>
      </c>
    </row>
    <row r="21">
      <c r="B21" s="4" t="n"/>
      <c r="C21" s="5" t="n"/>
      <c r="D21" s="4" t="n"/>
      <c r="E21" s="4" t="n"/>
      <c r="F21" s="4" t="n"/>
      <c r="G21" s="6">
        <f>IF(OR(C21="",D21="",F21=""),"",C21/D21*F21)</f>
        <v/>
      </c>
    </row>
    <row r="22">
      <c r="B22" s="4" t="n"/>
      <c r="C22" s="5" t="n"/>
      <c r="D22" s="4" t="n"/>
      <c r="E22" s="4" t="n"/>
      <c r="F22" s="4" t="n"/>
      <c r="G22" s="6">
        <f>IF(OR(C22="",D22="",F22=""),"",C22/D22*F22)</f>
        <v/>
      </c>
    </row>
    <row r="23">
      <c r="B23" s="4" t="n"/>
      <c r="C23" s="5" t="n"/>
      <c r="D23" s="4" t="n"/>
      <c r="E23" s="4" t="n"/>
      <c r="F23" s="4" t="n"/>
      <c r="G23" s="6">
        <f>IF(OR(C23="",D23="",F23=""),"",C23/D23*F23)</f>
        <v/>
      </c>
    </row>
    <row r="24">
      <c r="B24" s="4" t="n"/>
      <c r="C24" s="5" t="n"/>
      <c r="D24" s="4" t="n"/>
      <c r="E24" s="4" t="n"/>
      <c r="F24" s="4" t="n"/>
      <c r="G24" s="6">
        <f>IF(OR(C24="",D24="",F24=""),"",C24/D24*F24)</f>
        <v/>
      </c>
    </row>
    <row r="25">
      <c r="B25" s="4" t="n"/>
      <c r="C25" s="5" t="n"/>
      <c r="D25" s="4" t="n"/>
      <c r="E25" s="4" t="n"/>
      <c r="F25" s="4" t="n"/>
      <c r="G25" s="6">
        <f>IF(OR(C25="",D25="",F25=""),"",C25/D25*F25)</f>
        <v/>
      </c>
    </row>
    <row r="26">
      <c r="B26" s="7" t="inlineStr">
        <is>
          <t>1개 원가 (재료비 + 포장 합계)</t>
        </is>
      </c>
      <c r="G26" s="8">
        <f>SUM(G6:G25)</f>
        <v/>
      </c>
    </row>
    <row r="27">
      <c r="B27" t="inlineStr">
        <is>
          <t>판매가 (원)</t>
        </is>
      </c>
      <c r="G27" s="9" t="n">
        <v>7500</v>
      </c>
    </row>
    <row r="28">
      <c r="B28" s="7" t="inlineStr">
        <is>
          <t>원가율 (1개 원가 ÷ 판매가)</t>
        </is>
      </c>
      <c r="G28" s="10">
        <f>IF(OR(G27="",G27=0),"",G26/G27)</f>
        <v/>
      </c>
    </row>
    <row r="29">
      <c r="B29" s="2" t="inlineStr">
        <is>
          <t>기준: 디저트·베이커리 30~40%, 케이크 카페 목표 30~35%. 35% 넘으면 레시피·구매처·판매가 중 하나를 손봅니다.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16" customWidth="1" min="3" max="3"/>
    <col width="16" customWidth="1" min="4" max="4"/>
    <col width="10" customWidth="1" min="5" max="5"/>
    <col width="20" customWidth="1" min="6" max="6"/>
    <col width="16" customWidth="1" min="7" max="7"/>
  </cols>
  <sheetData>
    <row r="2">
      <c r="B2" s="1" t="inlineStr">
        <is>
          <t>원가계산표 · 메뉴 1</t>
        </is>
      </c>
    </row>
    <row r="3">
      <c r="B3" s="2" t="inlineStr">
        <is>
          <t>노란 칸만 적으면 됩니다. 구매단가 ÷ 구매 기준수량 × 레시피 사용량 = 재료비. 맨 아래 "1개 원가"를 워크북 2일차 3교시 표에 옮기세요.</t>
        </is>
      </c>
    </row>
    <row r="5" ht="32" customHeight="1">
      <c r="B5" s="3" t="inlineStr">
        <is>
          <t>재료명</t>
        </is>
      </c>
      <c r="C5" s="3" t="inlineStr">
        <is>
          <t>구매단가 (원)</t>
        </is>
      </c>
      <c r="D5" s="3" t="inlineStr">
        <is>
          <t>구매 기준수량</t>
        </is>
      </c>
      <c r="E5" s="3" t="inlineStr">
        <is>
          <t>단위</t>
        </is>
      </c>
      <c r="F5" s="3" t="inlineStr">
        <is>
          <t>레시피 사용량 (1개당)</t>
        </is>
      </c>
      <c r="G5" s="3" t="inlineStr">
        <is>
          <t>재료비 (원)</t>
        </is>
      </c>
    </row>
    <row r="6">
      <c r="B6" s="4" t="n"/>
      <c r="C6" s="5" t="n"/>
      <c r="D6" s="4" t="n"/>
      <c r="E6" s="4" t="n"/>
      <c r="F6" s="4" t="n"/>
      <c r="G6" s="6">
        <f>IF(OR(C6="",D6="",F6=""),"",C6/D6*F6)</f>
        <v/>
      </c>
    </row>
    <row r="7">
      <c r="B7" s="4" t="n"/>
      <c r="C7" s="5" t="n"/>
      <c r="D7" s="4" t="n"/>
      <c r="E7" s="4" t="n"/>
      <c r="F7" s="4" t="n"/>
      <c r="G7" s="6">
        <f>IF(OR(C7="",D7="",F7=""),"",C7/D7*F7)</f>
        <v/>
      </c>
    </row>
    <row r="8">
      <c r="B8" s="4" t="n"/>
      <c r="C8" s="5" t="n"/>
      <c r="D8" s="4" t="n"/>
      <c r="E8" s="4" t="n"/>
      <c r="F8" s="4" t="n"/>
      <c r="G8" s="6">
        <f>IF(OR(C8="",D8="",F8=""),"",C8/D8*F8)</f>
        <v/>
      </c>
    </row>
    <row r="9">
      <c r="B9" s="4" t="n"/>
      <c r="C9" s="5" t="n"/>
      <c r="D9" s="4" t="n"/>
      <c r="E9" s="4" t="n"/>
      <c r="F9" s="4" t="n"/>
      <c r="G9" s="6">
        <f>IF(OR(C9="",D9="",F9=""),"",C9/D9*F9)</f>
        <v/>
      </c>
    </row>
    <row r="10">
      <c r="B10" s="4" t="n"/>
      <c r="C10" s="5" t="n"/>
      <c r="D10" s="4" t="n"/>
      <c r="E10" s="4" t="n"/>
      <c r="F10" s="4" t="n"/>
      <c r="G10" s="6">
        <f>IF(OR(C10="",D10="",F10=""),"",C10/D10*F10)</f>
        <v/>
      </c>
    </row>
    <row r="11">
      <c r="B11" s="4" t="n"/>
      <c r="C11" s="5" t="n"/>
      <c r="D11" s="4" t="n"/>
      <c r="E11" s="4" t="n"/>
      <c r="F11" s="4" t="n"/>
      <c r="G11" s="6">
        <f>IF(OR(C11="",D11="",F11=""),"",C11/D11*F11)</f>
        <v/>
      </c>
    </row>
    <row r="12">
      <c r="B12" s="4" t="n"/>
      <c r="C12" s="5" t="n"/>
      <c r="D12" s="4" t="n"/>
      <c r="E12" s="4" t="n"/>
      <c r="F12" s="4" t="n"/>
      <c r="G12" s="6">
        <f>IF(OR(C12="",D12="",F12=""),"",C12/D12*F12)</f>
        <v/>
      </c>
    </row>
    <row r="13">
      <c r="B13" s="4" t="n"/>
      <c r="C13" s="5" t="n"/>
      <c r="D13" s="4" t="n"/>
      <c r="E13" s="4" t="n"/>
      <c r="F13" s="4" t="n"/>
      <c r="G13" s="6">
        <f>IF(OR(C13="",D13="",F13=""),"",C13/D13*F13)</f>
        <v/>
      </c>
    </row>
    <row r="14">
      <c r="B14" s="4" t="n"/>
      <c r="C14" s="5" t="n"/>
      <c r="D14" s="4" t="n"/>
      <c r="E14" s="4" t="n"/>
      <c r="F14" s="4" t="n"/>
      <c r="G14" s="6">
        <f>IF(OR(C14="",D14="",F14=""),"",C14/D14*F14)</f>
        <v/>
      </c>
    </row>
    <row r="15">
      <c r="B15" s="4" t="n"/>
      <c r="C15" s="5" t="n"/>
      <c r="D15" s="4" t="n"/>
      <c r="E15" s="4" t="n"/>
      <c r="F15" s="4" t="n"/>
      <c r="G15" s="6">
        <f>IF(OR(C15="",D15="",F15=""),"",C15/D15*F15)</f>
        <v/>
      </c>
    </row>
    <row r="16">
      <c r="B16" s="4" t="n"/>
      <c r="C16" s="5" t="n"/>
      <c r="D16" s="4" t="n"/>
      <c r="E16" s="4" t="n"/>
      <c r="F16" s="4" t="n"/>
      <c r="G16" s="6">
        <f>IF(OR(C16="",D16="",F16=""),"",C16/D16*F16)</f>
        <v/>
      </c>
    </row>
    <row r="17">
      <c r="B17" s="4" t="n"/>
      <c r="C17" s="5" t="n"/>
      <c r="D17" s="4" t="n"/>
      <c r="E17" s="4" t="n"/>
      <c r="F17" s="4" t="n"/>
      <c r="G17" s="6">
        <f>IF(OR(C17="",D17="",F17=""),"",C17/D17*F17)</f>
        <v/>
      </c>
    </row>
    <row r="18">
      <c r="B18" s="4" t="n"/>
      <c r="C18" s="5" t="n"/>
      <c r="D18" s="4" t="n"/>
      <c r="E18" s="4" t="n"/>
      <c r="F18" s="4" t="n"/>
      <c r="G18" s="6">
        <f>IF(OR(C18="",D18="",F18=""),"",C18/D18*F18)</f>
        <v/>
      </c>
    </row>
    <row r="19">
      <c r="B19" s="4" t="n"/>
      <c r="C19" s="5" t="n"/>
      <c r="D19" s="4" t="n"/>
      <c r="E19" s="4" t="n"/>
      <c r="F19" s="4" t="n"/>
      <c r="G19" s="6">
        <f>IF(OR(C19="",D19="",F19=""),"",C19/D19*F19)</f>
        <v/>
      </c>
    </row>
    <row r="20">
      <c r="B20" s="4" t="n"/>
      <c r="C20" s="5" t="n"/>
      <c r="D20" s="4" t="n"/>
      <c r="E20" s="4" t="n"/>
      <c r="F20" s="4" t="n"/>
      <c r="G20" s="6">
        <f>IF(OR(C20="",D20="",F20=""),"",C20/D20*F20)</f>
        <v/>
      </c>
    </row>
    <row r="21">
      <c r="B21" s="4" t="n"/>
      <c r="C21" s="5" t="n"/>
      <c r="D21" s="4" t="n"/>
      <c r="E21" s="4" t="n"/>
      <c r="F21" s="4" t="n"/>
      <c r="G21" s="6">
        <f>IF(OR(C21="",D21="",F21=""),"",C21/D21*F21)</f>
        <v/>
      </c>
    </row>
    <row r="22">
      <c r="B22" s="4" t="n"/>
      <c r="C22" s="5" t="n"/>
      <c r="D22" s="4" t="n"/>
      <c r="E22" s="4" t="n"/>
      <c r="F22" s="4" t="n"/>
      <c r="G22" s="6">
        <f>IF(OR(C22="",D22="",F22=""),"",C22/D22*F22)</f>
        <v/>
      </c>
    </row>
    <row r="23">
      <c r="B23" s="4" t="n"/>
      <c r="C23" s="5" t="n"/>
      <c r="D23" s="4" t="n"/>
      <c r="E23" s="4" t="n"/>
      <c r="F23" s="4" t="n"/>
      <c r="G23" s="6">
        <f>IF(OR(C23="",D23="",F23=""),"",C23/D23*F23)</f>
        <v/>
      </c>
    </row>
    <row r="24">
      <c r="B24" s="4" t="n"/>
      <c r="C24" s="5" t="n"/>
      <c r="D24" s="4" t="n"/>
      <c r="E24" s="4" t="n"/>
      <c r="F24" s="4" t="n"/>
      <c r="G24" s="6">
        <f>IF(OR(C24="",D24="",F24=""),"",C24/D24*F24)</f>
        <v/>
      </c>
    </row>
    <row r="25">
      <c r="B25" s="4" t="n"/>
      <c r="C25" s="5" t="n"/>
      <c r="D25" s="4" t="n"/>
      <c r="E25" s="4" t="n"/>
      <c r="F25" s="4" t="n"/>
      <c r="G25" s="6">
        <f>IF(OR(C25="",D25="",F25=""),"",C25/D25*F25)</f>
        <v/>
      </c>
    </row>
    <row r="26">
      <c r="B26" s="7" t="inlineStr">
        <is>
          <t>1개 원가 (재료비 + 포장 합계)</t>
        </is>
      </c>
      <c r="G26" s="8">
        <f>SUM(G6:G25)</f>
        <v/>
      </c>
    </row>
    <row r="27">
      <c r="B27" t="inlineStr">
        <is>
          <t>판매가 (원)</t>
        </is>
      </c>
      <c r="G27" s="9" t="n"/>
    </row>
    <row r="28">
      <c r="B28" s="7" t="inlineStr">
        <is>
          <t>원가율 (1개 원가 ÷ 판매가)</t>
        </is>
      </c>
      <c r="G28" s="10">
        <f>IF(OR(G27="",G27=0),"",G26/G27)</f>
        <v/>
      </c>
    </row>
    <row r="29">
      <c r="B29" s="2" t="inlineStr">
        <is>
          <t>기준: 디저트·베이커리 30~40%, 케이크 카페 목표 30~35%. 35% 넘으면 레시피·구매처·판매가 중 하나를 손봅니다.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16" customWidth="1" min="3" max="3"/>
    <col width="16" customWidth="1" min="4" max="4"/>
    <col width="10" customWidth="1" min="5" max="5"/>
    <col width="20" customWidth="1" min="6" max="6"/>
    <col width="16" customWidth="1" min="7" max="7"/>
  </cols>
  <sheetData>
    <row r="2">
      <c r="B2" s="1" t="inlineStr">
        <is>
          <t>원가계산표 · 메뉴 2</t>
        </is>
      </c>
    </row>
    <row r="3">
      <c r="B3" s="2" t="inlineStr">
        <is>
          <t>노란 칸만 적으면 됩니다. 구매단가 ÷ 구매 기준수량 × 레시피 사용량 = 재료비. 맨 아래 "1개 원가"를 워크북 2일차 3교시 표에 옮기세요.</t>
        </is>
      </c>
    </row>
    <row r="5" ht="32" customHeight="1">
      <c r="B5" s="3" t="inlineStr">
        <is>
          <t>재료명</t>
        </is>
      </c>
      <c r="C5" s="3" t="inlineStr">
        <is>
          <t>구매단가 (원)</t>
        </is>
      </c>
      <c r="D5" s="3" t="inlineStr">
        <is>
          <t>구매 기준수량</t>
        </is>
      </c>
      <c r="E5" s="3" t="inlineStr">
        <is>
          <t>단위</t>
        </is>
      </c>
      <c r="F5" s="3" t="inlineStr">
        <is>
          <t>레시피 사용량 (1개당)</t>
        </is>
      </c>
      <c r="G5" s="3" t="inlineStr">
        <is>
          <t>재료비 (원)</t>
        </is>
      </c>
    </row>
    <row r="6">
      <c r="B6" s="4" t="n"/>
      <c r="C6" s="5" t="n"/>
      <c r="D6" s="4" t="n"/>
      <c r="E6" s="4" t="n"/>
      <c r="F6" s="4" t="n"/>
      <c r="G6" s="6">
        <f>IF(OR(C6="",D6="",F6=""),"",C6/D6*F6)</f>
        <v/>
      </c>
    </row>
    <row r="7">
      <c r="B7" s="4" t="n"/>
      <c r="C7" s="5" t="n"/>
      <c r="D7" s="4" t="n"/>
      <c r="E7" s="4" t="n"/>
      <c r="F7" s="4" t="n"/>
      <c r="G7" s="6">
        <f>IF(OR(C7="",D7="",F7=""),"",C7/D7*F7)</f>
        <v/>
      </c>
    </row>
    <row r="8">
      <c r="B8" s="4" t="n"/>
      <c r="C8" s="5" t="n"/>
      <c r="D8" s="4" t="n"/>
      <c r="E8" s="4" t="n"/>
      <c r="F8" s="4" t="n"/>
      <c r="G8" s="6">
        <f>IF(OR(C8="",D8="",F8=""),"",C8/D8*F8)</f>
        <v/>
      </c>
    </row>
    <row r="9">
      <c r="B9" s="4" t="n"/>
      <c r="C9" s="5" t="n"/>
      <c r="D9" s="4" t="n"/>
      <c r="E9" s="4" t="n"/>
      <c r="F9" s="4" t="n"/>
      <c r="G9" s="6">
        <f>IF(OR(C9="",D9="",F9=""),"",C9/D9*F9)</f>
        <v/>
      </c>
    </row>
    <row r="10">
      <c r="B10" s="4" t="n"/>
      <c r="C10" s="5" t="n"/>
      <c r="D10" s="4" t="n"/>
      <c r="E10" s="4" t="n"/>
      <c r="F10" s="4" t="n"/>
      <c r="G10" s="6">
        <f>IF(OR(C10="",D10="",F10=""),"",C10/D10*F10)</f>
        <v/>
      </c>
    </row>
    <row r="11">
      <c r="B11" s="4" t="n"/>
      <c r="C11" s="5" t="n"/>
      <c r="D11" s="4" t="n"/>
      <c r="E11" s="4" t="n"/>
      <c r="F11" s="4" t="n"/>
      <c r="G11" s="6">
        <f>IF(OR(C11="",D11="",F11=""),"",C11/D11*F11)</f>
        <v/>
      </c>
    </row>
    <row r="12">
      <c r="B12" s="4" t="n"/>
      <c r="C12" s="5" t="n"/>
      <c r="D12" s="4" t="n"/>
      <c r="E12" s="4" t="n"/>
      <c r="F12" s="4" t="n"/>
      <c r="G12" s="6">
        <f>IF(OR(C12="",D12="",F12=""),"",C12/D12*F12)</f>
        <v/>
      </c>
    </row>
    <row r="13">
      <c r="B13" s="4" t="n"/>
      <c r="C13" s="5" t="n"/>
      <c r="D13" s="4" t="n"/>
      <c r="E13" s="4" t="n"/>
      <c r="F13" s="4" t="n"/>
      <c r="G13" s="6">
        <f>IF(OR(C13="",D13="",F13=""),"",C13/D13*F13)</f>
        <v/>
      </c>
    </row>
    <row r="14">
      <c r="B14" s="4" t="n"/>
      <c r="C14" s="5" t="n"/>
      <c r="D14" s="4" t="n"/>
      <c r="E14" s="4" t="n"/>
      <c r="F14" s="4" t="n"/>
      <c r="G14" s="6">
        <f>IF(OR(C14="",D14="",F14=""),"",C14/D14*F14)</f>
        <v/>
      </c>
    </row>
    <row r="15">
      <c r="B15" s="4" t="n"/>
      <c r="C15" s="5" t="n"/>
      <c r="D15" s="4" t="n"/>
      <c r="E15" s="4" t="n"/>
      <c r="F15" s="4" t="n"/>
      <c r="G15" s="6">
        <f>IF(OR(C15="",D15="",F15=""),"",C15/D15*F15)</f>
        <v/>
      </c>
    </row>
    <row r="16">
      <c r="B16" s="4" t="n"/>
      <c r="C16" s="5" t="n"/>
      <c r="D16" s="4" t="n"/>
      <c r="E16" s="4" t="n"/>
      <c r="F16" s="4" t="n"/>
      <c r="G16" s="6">
        <f>IF(OR(C16="",D16="",F16=""),"",C16/D16*F16)</f>
        <v/>
      </c>
    </row>
    <row r="17">
      <c r="B17" s="4" t="n"/>
      <c r="C17" s="5" t="n"/>
      <c r="D17" s="4" t="n"/>
      <c r="E17" s="4" t="n"/>
      <c r="F17" s="4" t="n"/>
      <c r="G17" s="6">
        <f>IF(OR(C17="",D17="",F17=""),"",C17/D17*F17)</f>
        <v/>
      </c>
    </row>
    <row r="18">
      <c r="B18" s="4" t="n"/>
      <c r="C18" s="5" t="n"/>
      <c r="D18" s="4" t="n"/>
      <c r="E18" s="4" t="n"/>
      <c r="F18" s="4" t="n"/>
      <c r="G18" s="6">
        <f>IF(OR(C18="",D18="",F18=""),"",C18/D18*F18)</f>
        <v/>
      </c>
    </row>
    <row r="19">
      <c r="B19" s="4" t="n"/>
      <c r="C19" s="5" t="n"/>
      <c r="D19" s="4" t="n"/>
      <c r="E19" s="4" t="n"/>
      <c r="F19" s="4" t="n"/>
      <c r="G19" s="6">
        <f>IF(OR(C19="",D19="",F19=""),"",C19/D19*F19)</f>
        <v/>
      </c>
    </row>
    <row r="20">
      <c r="B20" s="4" t="n"/>
      <c r="C20" s="5" t="n"/>
      <c r="D20" s="4" t="n"/>
      <c r="E20" s="4" t="n"/>
      <c r="F20" s="4" t="n"/>
      <c r="G20" s="6">
        <f>IF(OR(C20="",D20="",F20=""),"",C20/D20*F20)</f>
        <v/>
      </c>
    </row>
    <row r="21">
      <c r="B21" s="4" t="n"/>
      <c r="C21" s="5" t="n"/>
      <c r="D21" s="4" t="n"/>
      <c r="E21" s="4" t="n"/>
      <c r="F21" s="4" t="n"/>
      <c r="G21" s="6">
        <f>IF(OR(C21="",D21="",F21=""),"",C21/D21*F21)</f>
        <v/>
      </c>
    </row>
    <row r="22">
      <c r="B22" s="4" t="n"/>
      <c r="C22" s="5" t="n"/>
      <c r="D22" s="4" t="n"/>
      <c r="E22" s="4" t="n"/>
      <c r="F22" s="4" t="n"/>
      <c r="G22" s="6">
        <f>IF(OR(C22="",D22="",F22=""),"",C22/D22*F22)</f>
        <v/>
      </c>
    </row>
    <row r="23">
      <c r="B23" s="4" t="n"/>
      <c r="C23" s="5" t="n"/>
      <c r="D23" s="4" t="n"/>
      <c r="E23" s="4" t="n"/>
      <c r="F23" s="4" t="n"/>
      <c r="G23" s="6">
        <f>IF(OR(C23="",D23="",F23=""),"",C23/D23*F23)</f>
        <v/>
      </c>
    </row>
    <row r="24">
      <c r="B24" s="4" t="n"/>
      <c r="C24" s="5" t="n"/>
      <c r="D24" s="4" t="n"/>
      <c r="E24" s="4" t="n"/>
      <c r="F24" s="4" t="n"/>
      <c r="G24" s="6">
        <f>IF(OR(C24="",D24="",F24=""),"",C24/D24*F24)</f>
        <v/>
      </c>
    </row>
    <row r="25">
      <c r="B25" s="4" t="n"/>
      <c r="C25" s="5" t="n"/>
      <c r="D25" s="4" t="n"/>
      <c r="E25" s="4" t="n"/>
      <c r="F25" s="4" t="n"/>
      <c r="G25" s="6">
        <f>IF(OR(C25="",D25="",F25=""),"",C25/D25*F25)</f>
        <v/>
      </c>
    </row>
    <row r="26">
      <c r="B26" s="7" t="inlineStr">
        <is>
          <t>1개 원가 (재료비 + 포장 합계)</t>
        </is>
      </c>
      <c r="G26" s="8">
        <f>SUM(G6:G25)</f>
        <v/>
      </c>
    </row>
    <row r="27">
      <c r="B27" t="inlineStr">
        <is>
          <t>판매가 (원)</t>
        </is>
      </c>
      <c r="G27" s="9" t="n"/>
    </row>
    <row r="28">
      <c r="B28" s="7" t="inlineStr">
        <is>
          <t>원가율 (1개 원가 ÷ 판매가)</t>
        </is>
      </c>
      <c r="G28" s="10">
        <f>IF(OR(G27="",G27=0),"",G26/G27)</f>
        <v/>
      </c>
    </row>
    <row r="29">
      <c r="B29" s="2" t="inlineStr">
        <is>
          <t>기준: 디저트·베이커리 30~40%, 케이크 카페 목표 30~35%. 35% 넘으면 레시피·구매처·판매가 중 하나를 손봅니다.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16" customWidth="1" min="3" max="3"/>
    <col width="16" customWidth="1" min="4" max="4"/>
    <col width="10" customWidth="1" min="5" max="5"/>
    <col width="20" customWidth="1" min="6" max="6"/>
    <col width="16" customWidth="1" min="7" max="7"/>
  </cols>
  <sheetData>
    <row r="2">
      <c r="B2" s="1" t="inlineStr">
        <is>
          <t>원가계산표 · 메뉴 3</t>
        </is>
      </c>
    </row>
    <row r="3">
      <c r="B3" s="2" t="inlineStr">
        <is>
          <t>노란 칸만 적으면 됩니다. 구매단가 ÷ 구매 기준수량 × 레시피 사용량 = 재료비. 맨 아래 "1개 원가"를 워크북 2일차 3교시 표에 옮기세요.</t>
        </is>
      </c>
    </row>
    <row r="5" ht="32" customHeight="1">
      <c r="B5" s="3" t="inlineStr">
        <is>
          <t>재료명</t>
        </is>
      </c>
      <c r="C5" s="3" t="inlineStr">
        <is>
          <t>구매단가 (원)</t>
        </is>
      </c>
      <c r="D5" s="3" t="inlineStr">
        <is>
          <t>구매 기준수량</t>
        </is>
      </c>
      <c r="E5" s="3" t="inlineStr">
        <is>
          <t>단위</t>
        </is>
      </c>
      <c r="F5" s="3" t="inlineStr">
        <is>
          <t>레시피 사용량 (1개당)</t>
        </is>
      </c>
      <c r="G5" s="3" t="inlineStr">
        <is>
          <t>재료비 (원)</t>
        </is>
      </c>
    </row>
    <row r="6">
      <c r="B6" s="4" t="n"/>
      <c r="C6" s="5" t="n"/>
      <c r="D6" s="4" t="n"/>
      <c r="E6" s="4" t="n"/>
      <c r="F6" s="4" t="n"/>
      <c r="G6" s="6">
        <f>IF(OR(C6="",D6="",F6=""),"",C6/D6*F6)</f>
        <v/>
      </c>
    </row>
    <row r="7">
      <c r="B7" s="4" t="n"/>
      <c r="C7" s="5" t="n"/>
      <c r="D7" s="4" t="n"/>
      <c r="E7" s="4" t="n"/>
      <c r="F7" s="4" t="n"/>
      <c r="G7" s="6">
        <f>IF(OR(C7="",D7="",F7=""),"",C7/D7*F7)</f>
        <v/>
      </c>
    </row>
    <row r="8">
      <c r="B8" s="4" t="n"/>
      <c r="C8" s="5" t="n"/>
      <c r="D8" s="4" t="n"/>
      <c r="E8" s="4" t="n"/>
      <c r="F8" s="4" t="n"/>
      <c r="G8" s="6">
        <f>IF(OR(C8="",D8="",F8=""),"",C8/D8*F8)</f>
        <v/>
      </c>
    </row>
    <row r="9">
      <c r="B9" s="4" t="n"/>
      <c r="C9" s="5" t="n"/>
      <c r="D9" s="4" t="n"/>
      <c r="E9" s="4" t="n"/>
      <c r="F9" s="4" t="n"/>
      <c r="G9" s="6">
        <f>IF(OR(C9="",D9="",F9=""),"",C9/D9*F9)</f>
        <v/>
      </c>
    </row>
    <row r="10">
      <c r="B10" s="4" t="n"/>
      <c r="C10" s="5" t="n"/>
      <c r="D10" s="4" t="n"/>
      <c r="E10" s="4" t="n"/>
      <c r="F10" s="4" t="n"/>
      <c r="G10" s="6">
        <f>IF(OR(C10="",D10="",F10=""),"",C10/D10*F10)</f>
        <v/>
      </c>
    </row>
    <row r="11">
      <c r="B11" s="4" t="n"/>
      <c r="C11" s="5" t="n"/>
      <c r="D11" s="4" t="n"/>
      <c r="E11" s="4" t="n"/>
      <c r="F11" s="4" t="n"/>
      <c r="G11" s="6">
        <f>IF(OR(C11="",D11="",F11=""),"",C11/D11*F11)</f>
        <v/>
      </c>
    </row>
    <row r="12">
      <c r="B12" s="4" t="n"/>
      <c r="C12" s="5" t="n"/>
      <c r="D12" s="4" t="n"/>
      <c r="E12" s="4" t="n"/>
      <c r="F12" s="4" t="n"/>
      <c r="G12" s="6">
        <f>IF(OR(C12="",D12="",F12=""),"",C12/D12*F12)</f>
        <v/>
      </c>
    </row>
    <row r="13">
      <c r="B13" s="4" t="n"/>
      <c r="C13" s="5" t="n"/>
      <c r="D13" s="4" t="n"/>
      <c r="E13" s="4" t="n"/>
      <c r="F13" s="4" t="n"/>
      <c r="G13" s="6">
        <f>IF(OR(C13="",D13="",F13=""),"",C13/D13*F13)</f>
        <v/>
      </c>
    </row>
    <row r="14">
      <c r="B14" s="4" t="n"/>
      <c r="C14" s="5" t="n"/>
      <c r="D14" s="4" t="n"/>
      <c r="E14" s="4" t="n"/>
      <c r="F14" s="4" t="n"/>
      <c r="G14" s="6">
        <f>IF(OR(C14="",D14="",F14=""),"",C14/D14*F14)</f>
        <v/>
      </c>
    </row>
    <row r="15">
      <c r="B15" s="4" t="n"/>
      <c r="C15" s="5" t="n"/>
      <c r="D15" s="4" t="n"/>
      <c r="E15" s="4" t="n"/>
      <c r="F15" s="4" t="n"/>
      <c r="G15" s="6">
        <f>IF(OR(C15="",D15="",F15=""),"",C15/D15*F15)</f>
        <v/>
      </c>
    </row>
    <row r="16">
      <c r="B16" s="4" t="n"/>
      <c r="C16" s="5" t="n"/>
      <c r="D16" s="4" t="n"/>
      <c r="E16" s="4" t="n"/>
      <c r="F16" s="4" t="n"/>
      <c r="G16" s="6">
        <f>IF(OR(C16="",D16="",F16=""),"",C16/D16*F16)</f>
        <v/>
      </c>
    </row>
    <row r="17">
      <c r="B17" s="4" t="n"/>
      <c r="C17" s="5" t="n"/>
      <c r="D17" s="4" t="n"/>
      <c r="E17" s="4" t="n"/>
      <c r="F17" s="4" t="n"/>
      <c r="G17" s="6">
        <f>IF(OR(C17="",D17="",F17=""),"",C17/D17*F17)</f>
        <v/>
      </c>
    </row>
    <row r="18">
      <c r="B18" s="4" t="n"/>
      <c r="C18" s="5" t="n"/>
      <c r="D18" s="4" t="n"/>
      <c r="E18" s="4" t="n"/>
      <c r="F18" s="4" t="n"/>
      <c r="G18" s="6">
        <f>IF(OR(C18="",D18="",F18=""),"",C18/D18*F18)</f>
        <v/>
      </c>
    </row>
    <row r="19">
      <c r="B19" s="4" t="n"/>
      <c r="C19" s="5" t="n"/>
      <c r="D19" s="4" t="n"/>
      <c r="E19" s="4" t="n"/>
      <c r="F19" s="4" t="n"/>
      <c r="G19" s="6">
        <f>IF(OR(C19="",D19="",F19=""),"",C19/D19*F19)</f>
        <v/>
      </c>
    </row>
    <row r="20">
      <c r="B20" s="4" t="n"/>
      <c r="C20" s="5" t="n"/>
      <c r="D20" s="4" t="n"/>
      <c r="E20" s="4" t="n"/>
      <c r="F20" s="4" t="n"/>
      <c r="G20" s="6">
        <f>IF(OR(C20="",D20="",F20=""),"",C20/D20*F20)</f>
        <v/>
      </c>
    </row>
    <row r="21">
      <c r="B21" s="4" t="n"/>
      <c r="C21" s="5" t="n"/>
      <c r="D21" s="4" t="n"/>
      <c r="E21" s="4" t="n"/>
      <c r="F21" s="4" t="n"/>
      <c r="G21" s="6">
        <f>IF(OR(C21="",D21="",F21=""),"",C21/D21*F21)</f>
        <v/>
      </c>
    </row>
    <row r="22">
      <c r="B22" s="4" t="n"/>
      <c r="C22" s="5" t="n"/>
      <c r="D22" s="4" t="n"/>
      <c r="E22" s="4" t="n"/>
      <c r="F22" s="4" t="n"/>
      <c r="G22" s="6">
        <f>IF(OR(C22="",D22="",F22=""),"",C22/D22*F22)</f>
        <v/>
      </c>
    </row>
    <row r="23">
      <c r="B23" s="4" t="n"/>
      <c r="C23" s="5" t="n"/>
      <c r="D23" s="4" t="n"/>
      <c r="E23" s="4" t="n"/>
      <c r="F23" s="4" t="n"/>
      <c r="G23" s="6">
        <f>IF(OR(C23="",D23="",F23=""),"",C23/D23*F23)</f>
        <v/>
      </c>
    </row>
    <row r="24">
      <c r="B24" s="4" t="n"/>
      <c r="C24" s="5" t="n"/>
      <c r="D24" s="4" t="n"/>
      <c r="E24" s="4" t="n"/>
      <c r="F24" s="4" t="n"/>
      <c r="G24" s="6">
        <f>IF(OR(C24="",D24="",F24=""),"",C24/D24*F24)</f>
        <v/>
      </c>
    </row>
    <row r="25">
      <c r="B25" s="4" t="n"/>
      <c r="C25" s="5" t="n"/>
      <c r="D25" s="4" t="n"/>
      <c r="E25" s="4" t="n"/>
      <c r="F25" s="4" t="n"/>
      <c r="G25" s="6">
        <f>IF(OR(C25="",D25="",F25=""),"",C25/D25*F25)</f>
        <v/>
      </c>
    </row>
    <row r="26">
      <c r="B26" s="7" t="inlineStr">
        <is>
          <t>1개 원가 (재료비 + 포장 합계)</t>
        </is>
      </c>
      <c r="G26" s="8">
        <f>SUM(G6:G25)</f>
        <v/>
      </c>
    </row>
    <row r="27">
      <c r="B27" t="inlineStr">
        <is>
          <t>판매가 (원)</t>
        </is>
      </c>
      <c r="G27" s="9" t="n"/>
    </row>
    <row r="28">
      <c r="B28" s="7" t="inlineStr">
        <is>
          <t>원가율 (1개 원가 ÷ 판매가)</t>
        </is>
      </c>
      <c r="G28" s="10">
        <f>IF(OR(G27="",G27=0),"",G26/G27)</f>
        <v/>
      </c>
    </row>
    <row r="29">
      <c r="B29" s="2" t="inlineStr">
        <is>
          <t>기준: 디저트·베이커리 30~40%, 케이크 카페 목표 30~35%. 35% 넘으면 레시피·구매처·판매가 중 하나를 손봅니다.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2026-09-17T01:09:17Z</dcterms:created>
  <dcterms:modified xsi:type="dcterms:W3CDTF">2026-09-17T01:09:17Z</dcterms:modified>
</cp:coreProperties>
</file>